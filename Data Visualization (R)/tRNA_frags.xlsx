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harin/Documents/Clark/Writing/Derivatization Manuscript/Figures/Data/"/>
    </mc:Choice>
  </mc:AlternateContent>
  <xr:revisionPtr revIDLastSave="0" documentId="8_{4554880B-80A4-C54C-A25A-9C0329D392D9}" xr6:coauthVersionLast="47" xr6:coauthVersionMax="47" xr10:uidLastSave="{00000000-0000-0000-0000-000000000000}"/>
  <bookViews>
    <workbookView xWindow="1760" yWindow="2860" windowWidth="27640" windowHeight="16260" xr2:uid="{4F79BEA0-F6B1-6E4F-964F-64245198BE6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G26" i="1"/>
  <c r="L26" i="1" s="1"/>
  <c r="E26" i="1"/>
  <c r="C26" i="1"/>
  <c r="K26" i="1" s="1"/>
  <c r="K25" i="1"/>
  <c r="I25" i="1"/>
  <c r="L25" i="1" s="1"/>
  <c r="G25" i="1"/>
  <c r="E25" i="1"/>
  <c r="C25" i="1"/>
  <c r="I20" i="1"/>
  <c r="G20" i="1"/>
  <c r="C20" i="1"/>
  <c r="K20" i="1" s="1"/>
  <c r="I22" i="1"/>
  <c r="G22" i="1"/>
  <c r="E22" i="1"/>
  <c r="C22" i="1"/>
  <c r="K22" i="1" s="1"/>
  <c r="G23" i="1"/>
  <c r="L23" i="1" s="1"/>
  <c r="E23" i="1"/>
  <c r="C23" i="1"/>
  <c r="K23" i="1" s="1"/>
  <c r="I24" i="1"/>
  <c r="G24" i="1"/>
  <c r="L24" i="1" s="1"/>
  <c r="C24" i="1"/>
  <c r="K24" i="1" s="1"/>
  <c r="I21" i="1"/>
  <c r="G21" i="1"/>
  <c r="L21" i="1" s="1"/>
  <c r="E21" i="1"/>
  <c r="C21" i="1"/>
  <c r="K21" i="1" s="1"/>
  <c r="L4" i="1"/>
  <c r="L5" i="1"/>
  <c r="L2" i="1"/>
  <c r="K3" i="1"/>
  <c r="K8" i="1"/>
  <c r="I8" i="1"/>
  <c r="I3" i="1"/>
  <c r="I5" i="1"/>
  <c r="I6" i="1"/>
  <c r="I7" i="1"/>
  <c r="I2" i="1"/>
  <c r="G8" i="1"/>
  <c r="G7" i="1"/>
  <c r="G6" i="1"/>
  <c r="G4" i="1"/>
  <c r="G5" i="1"/>
  <c r="G3" i="1"/>
  <c r="L3" i="1" s="1"/>
  <c r="G2" i="1"/>
  <c r="E8" i="1"/>
  <c r="E7" i="1"/>
  <c r="E5" i="1"/>
  <c r="K5" i="1" s="1"/>
  <c r="E4" i="1"/>
  <c r="E2" i="1"/>
  <c r="C5" i="1"/>
  <c r="C4" i="1"/>
  <c r="K4" i="1" s="1"/>
  <c r="C2" i="1"/>
  <c r="C8" i="1"/>
  <c r="C7" i="1"/>
  <c r="K7" i="1" s="1"/>
  <c r="C6" i="1"/>
  <c r="K6" i="1" s="1"/>
  <c r="C3" i="1"/>
  <c r="L6" i="1" l="1"/>
  <c r="L8" i="1"/>
  <c r="L7" i="1"/>
  <c r="L22" i="1"/>
  <c r="L20" i="1"/>
  <c r="K2" i="1"/>
</calcChain>
</file>

<file path=xl/sharedStrings.xml><?xml version="1.0" encoding="utf-8"?>
<sst xmlns="http://schemas.openxmlformats.org/spreadsheetml/2006/main" count="52" uniqueCount="26">
  <si>
    <t>Fragment</t>
  </si>
  <si>
    <t>m5UPCG</t>
  </si>
  <si>
    <t>AUUUAm2G</t>
  </si>
  <si>
    <t>m1AUCCACAG</t>
  </si>
  <si>
    <t>Cm2,2GCCAG</t>
  </si>
  <si>
    <t>CUCAG</t>
  </si>
  <si>
    <t>m7GUCm5CUG</t>
  </si>
  <si>
    <t>ACmUGmAAYAPm5CUG</t>
  </si>
  <si>
    <t>T1 frag mz 1</t>
  </si>
  <si>
    <t>T1 frag mz 2</t>
  </si>
  <si>
    <t>ligation mz 1</t>
  </si>
  <si>
    <t>ligation mz 2</t>
  </si>
  <si>
    <t>+1 isotope</t>
  </si>
  <si>
    <t>all are -4 except boxed</t>
  </si>
  <si>
    <t>top is -3</t>
  </si>
  <si>
    <t>bottom is -5</t>
  </si>
  <si>
    <t>all are -3 except boxed</t>
  </si>
  <si>
    <t>are -2</t>
  </si>
  <si>
    <t>RNA EICs</t>
  </si>
  <si>
    <t>Lig EICs</t>
  </si>
  <si>
    <t>+1 isotope2</t>
  </si>
  <si>
    <t>+1 isotope3</t>
  </si>
  <si>
    <t>+1 isotope4</t>
  </si>
  <si>
    <t>Column5</t>
  </si>
  <si>
    <t>RNA peak area</t>
  </si>
  <si>
    <t>Ligation Product Peak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</si>
</sst>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quotePrefix="1" applyFont="1"/>
    <xf numFmtId="0" fontId="1" fillId="0" borderId="1" xfId="0" applyFont="1" applyBorder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10D87-EAB1-8145-AC01-6FF8E1DD2755}" name="Table1" displayName="Table1" ref="A19:L26" totalsRowShown="0" headerRowDxfId="11" dataDxfId="10">
  <autoFilter ref="A19:L26" xr:uid="{C2310D87-EAB1-8145-AC01-6FF8E1DD2755}"/>
  <sortState xmlns:xlrd2="http://schemas.microsoft.com/office/spreadsheetml/2017/richdata2" ref="A20:L26">
    <sortCondition ref="B19:B26"/>
  </sortState>
  <tableColumns count="12">
    <tableColumn id="1" xr3:uid="{2958F55E-B288-6C40-A03C-3A7508FCBB7E}" name="Fragment" dataDxfId="9"/>
    <tableColumn id="2" xr3:uid="{AEAF3B98-DFF8-4A48-B3C4-43E95F334ED1}" name="T1 frag mz 1"/>
    <tableColumn id="3" xr3:uid="{6C10B8B3-0C59-CC4B-AB5B-12DD317CE9B2}" name="+1 isotope" dataDxfId="8"/>
    <tableColumn id="4" xr3:uid="{AFEB6032-7232-A545-9DFD-096D00863B05}" name="T1 frag mz 2" dataDxfId="7"/>
    <tableColumn id="5" xr3:uid="{3451AAF3-6400-C945-B3B7-F8843E44C79A}" name="+1 isotope2" dataDxfId="6">
      <calculatedColumnFormula>D20+0.5</calculatedColumnFormula>
    </tableColumn>
    <tableColumn id="6" xr3:uid="{800D0C40-170F-324D-AEA8-CD4ED0CF9484}" name="ligation mz 1"/>
    <tableColumn id="7" xr3:uid="{BF55449F-29E4-C241-A142-75FB4CDC15C4}" name="+1 isotope3" dataDxfId="5"/>
    <tableColumn id="8" xr3:uid="{151EAB30-2A01-8747-B1D7-8E41A3E2929C}" name="ligation mz 2" dataDxfId="4"/>
    <tableColumn id="9" xr3:uid="{66E37177-B56D-524A-8BDC-E3B69772E734}" name="+1 isotope4" dataDxfId="3"/>
    <tableColumn id="10" xr3:uid="{648FD459-395B-4C4F-A995-8F486BA22A8E}" name="Column5" dataDxfId="2"/>
    <tableColumn id="11" xr3:uid="{8C031835-0A86-2140-96C4-53CA95CA3502}" name="RNA EICs" dataDxfId="1">
      <calculatedColumnFormula>_xlfn.TEXTJOIN(", ", TRUE,B20:E20)</calculatedColumnFormula>
    </tableColumn>
    <tableColumn id="12" xr3:uid="{E0DA3912-CCFB-E14B-902E-580BE32F725D}" name="Lig EICs" dataDxfId="0">
      <calculatedColumnFormula>_xlfn.TEXTJOIN(", ", TRUE, F20:I20)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74BC-0FDD-C14C-B2F7-EFAC94CD8D8E}">
  <dimension ref="A1:L40"/>
  <sheetViews>
    <sheetView tabSelected="1" topLeftCell="A18" workbookViewId="0">
      <selection activeCell="C41" sqref="C41"/>
    </sheetView>
  </sheetViews>
  <sheetFormatPr baseColWidth="10" defaultRowHeight="16" x14ac:dyDescent="0.2"/>
  <cols>
    <col min="1" max="1" width="24.6640625" style="1" bestFit="1" customWidth="1"/>
    <col min="2" max="2" width="14.6640625" style="1" customWidth="1"/>
    <col min="3" max="3" width="13" style="1" customWidth="1"/>
    <col min="4" max="4" width="14.6640625" style="1" customWidth="1"/>
    <col min="5" max="5" width="14.1640625" style="1" customWidth="1"/>
    <col min="6" max="6" width="15" style="1" customWidth="1"/>
    <col min="7" max="7" width="14.1640625" style="1" customWidth="1"/>
    <col min="8" max="8" width="15" style="1" customWidth="1"/>
    <col min="9" max="9" width="14.1640625" style="1" customWidth="1"/>
    <col min="10" max="10" width="5.6640625" style="1" customWidth="1"/>
    <col min="11" max="11" width="12.6640625" style="1" customWidth="1"/>
    <col min="12" max="12" width="11.1640625" style="1" customWidth="1"/>
    <col min="13" max="16384" width="10.83203125" style="1"/>
  </cols>
  <sheetData>
    <row r="1" spans="1:12" x14ac:dyDescent="0.2">
      <c r="A1" s="1" t="s">
        <v>0</v>
      </c>
      <c r="B1" s="1" t="s">
        <v>8</v>
      </c>
      <c r="C1" s="4" t="s">
        <v>12</v>
      </c>
      <c r="D1" s="1" t="s">
        <v>9</v>
      </c>
      <c r="E1" s="4" t="s">
        <v>12</v>
      </c>
      <c r="F1" s="1" t="s">
        <v>10</v>
      </c>
      <c r="G1" s="4" t="s">
        <v>12</v>
      </c>
      <c r="H1" s="1" t="s">
        <v>11</v>
      </c>
      <c r="I1" s="4" t="s">
        <v>12</v>
      </c>
      <c r="K1" s="1" t="s">
        <v>18</v>
      </c>
      <c r="L1" s="1" t="s">
        <v>19</v>
      </c>
    </row>
    <row r="2" spans="1:12" x14ac:dyDescent="0.2">
      <c r="A2" s="1" t="s">
        <v>2</v>
      </c>
      <c r="B2" s="2">
        <v>623.42100000000005</v>
      </c>
      <c r="C2" s="2">
        <f>B2+0.333</f>
        <v>623.75400000000002</v>
      </c>
      <c r="D2" s="1">
        <v>935.63599999999997</v>
      </c>
      <c r="E2" s="1">
        <f>D2+0.5</f>
        <v>936.13599999999997</v>
      </c>
      <c r="F2" s="3">
        <v>939.928</v>
      </c>
      <c r="G2" s="3">
        <f>F2+0.25</f>
        <v>940.178</v>
      </c>
      <c r="H2" s="1">
        <v>1253.5730000000001</v>
      </c>
      <c r="I2" s="1">
        <f>H2+0.333</f>
        <v>1253.9060000000002</v>
      </c>
      <c r="K2" s="1" t="str">
        <f>_xlfn.TEXTJOIN(", ", TRUE,B2:E2)</f>
        <v>623.421, 623.754, 935.636, 936.136</v>
      </c>
      <c r="L2" s="1" t="str">
        <f>_xlfn.TEXTJOIN(", ", TRUE, F2:I2)</f>
        <v>939.928, 940.178, 1253.573, 1253.906</v>
      </c>
    </row>
    <row r="3" spans="1:12" x14ac:dyDescent="0.2">
      <c r="A3" s="1" t="s">
        <v>5</v>
      </c>
      <c r="B3" s="7">
        <v>763.11800000000005</v>
      </c>
      <c r="C3" s="2">
        <f>B3+0.5</f>
        <v>763.61800000000005</v>
      </c>
      <c r="F3" s="3">
        <v>853.66899999999998</v>
      </c>
      <c r="G3" s="3">
        <f>F3+0.25</f>
        <v>853.91899999999998</v>
      </c>
      <c r="H3" s="1">
        <v>1138.5609999999999</v>
      </c>
      <c r="I3" s="1">
        <f>H3+0.333</f>
        <v>1138.894</v>
      </c>
      <c r="K3" s="1" t="str">
        <f t="shared" ref="K3:K8" si="0">_xlfn.TEXTJOIN(", ", TRUE,B3:E3)</f>
        <v>763.118, 763.618</v>
      </c>
      <c r="L3" s="1" t="str">
        <f t="shared" ref="L3:L8" si="1">_xlfn.TEXTJOIN(", ", TRUE, F3:I3)</f>
        <v>853.669, 853.919, 1138.561, 1138.894</v>
      </c>
    </row>
    <row r="4" spans="1:12" x14ac:dyDescent="0.2">
      <c r="A4" s="1" t="s">
        <v>4</v>
      </c>
      <c r="B4" s="2">
        <v>632.44100000000003</v>
      </c>
      <c r="C4" s="2">
        <f>B4+0.3333</f>
        <v>632.77430000000004</v>
      </c>
      <c r="D4" s="1">
        <v>949.16600000000005</v>
      </c>
      <c r="E4" s="1">
        <f>D4+0.5</f>
        <v>949.66600000000005</v>
      </c>
      <c r="F4" s="6">
        <v>1262.5920000000001</v>
      </c>
      <c r="G4" s="3">
        <f>F4+0.333</f>
        <v>1262.9250000000002</v>
      </c>
      <c r="K4" s="1" t="str">
        <f t="shared" si="0"/>
        <v>632.441, 632.7743, 949.166, 949.666</v>
      </c>
      <c r="L4" s="1" t="str">
        <f t="shared" si="1"/>
        <v>1262.592, 1262.925</v>
      </c>
    </row>
    <row r="5" spans="1:12" x14ac:dyDescent="0.2">
      <c r="A5" s="1" t="s">
        <v>6</v>
      </c>
      <c r="B5" s="1">
        <v>625.09299999999996</v>
      </c>
      <c r="C5" s="2">
        <f>B5+0.3333</f>
        <v>625.42629999999997</v>
      </c>
      <c r="D5" s="1">
        <v>938.14400000000001</v>
      </c>
      <c r="E5" s="1">
        <f>D5+0.5</f>
        <v>938.64400000000001</v>
      </c>
      <c r="F5" s="1">
        <v>941.18100000000004</v>
      </c>
      <c r="G5" s="3">
        <f>F5+0.25</f>
        <v>941.43100000000004</v>
      </c>
      <c r="H5" s="1">
        <v>1255.2449999999999</v>
      </c>
      <c r="I5" s="1">
        <f>H5+0.333</f>
        <v>1255.578</v>
      </c>
      <c r="K5" s="1" t="str">
        <f t="shared" si="0"/>
        <v>625.093, 625.4263, 938.144, 938.644</v>
      </c>
      <c r="L5" s="1" t="str">
        <f t="shared" si="1"/>
        <v>941.181, 941.431, 1255.245, 1255.578</v>
      </c>
    </row>
    <row r="6" spans="1:12" x14ac:dyDescent="0.2">
      <c r="A6" s="1" t="s">
        <v>1</v>
      </c>
      <c r="B6" s="2">
        <v>606.09199999999998</v>
      </c>
      <c r="C6" s="2">
        <f>B6+0.5</f>
        <v>606.59199999999998</v>
      </c>
      <c r="F6" s="3">
        <v>775.15499999999997</v>
      </c>
      <c r="G6" s="3">
        <f>F6+0.25</f>
        <v>775.40499999999997</v>
      </c>
      <c r="H6" s="1">
        <v>1033.876</v>
      </c>
      <c r="I6" s="1">
        <f>H6+0.333</f>
        <v>1034.2090000000001</v>
      </c>
      <c r="K6" s="1" t="str">
        <f t="shared" si="0"/>
        <v>606.092, 606.592</v>
      </c>
      <c r="L6" s="1" t="str">
        <f t="shared" si="1"/>
        <v>775.155, 775.405, 1033.876, 1034.209</v>
      </c>
    </row>
    <row r="7" spans="1:12" x14ac:dyDescent="0.2">
      <c r="A7" s="1" t="s">
        <v>3</v>
      </c>
      <c r="B7" s="7">
        <v>834.13</v>
      </c>
      <c r="C7" s="2">
        <f>B7+0.333</f>
        <v>834.46299999999997</v>
      </c>
      <c r="D7" s="1">
        <v>1251.6990000000001</v>
      </c>
      <c r="E7" s="1">
        <f>D7+0.5</f>
        <v>1252.1990000000001</v>
      </c>
      <c r="F7" s="3">
        <v>1097.9590000000001</v>
      </c>
      <c r="G7" s="3">
        <f>F7+0.25</f>
        <v>1098.2090000000001</v>
      </c>
      <c r="H7" s="1">
        <v>1464.2809999999999</v>
      </c>
      <c r="I7" s="1">
        <f>H7+0.333</f>
        <v>1464.614</v>
      </c>
      <c r="K7" s="1" t="str">
        <f t="shared" si="0"/>
        <v>834.13, 834.463, 1251.699, 1252.199</v>
      </c>
      <c r="L7" s="1" t="str">
        <f t="shared" si="1"/>
        <v>1097.959, 1098.209, 1464.281, 1464.614</v>
      </c>
    </row>
    <row r="8" spans="1:12" x14ac:dyDescent="0.2">
      <c r="A8" s="1" t="s">
        <v>7</v>
      </c>
      <c r="B8" s="1">
        <v>1360.56</v>
      </c>
      <c r="C8" s="2">
        <f>B8+0.333</f>
        <v>1360.893</v>
      </c>
      <c r="D8" s="1">
        <v>1020.178</v>
      </c>
      <c r="E8" s="1">
        <f>D8+0.5</f>
        <v>1020.678</v>
      </c>
      <c r="F8" s="5">
        <v>1194.0229999999999</v>
      </c>
      <c r="G8" s="1">
        <f>F8+0.2</f>
        <v>1194.223</v>
      </c>
      <c r="H8" s="1">
        <v>1492.7809999999999</v>
      </c>
      <c r="I8" s="1">
        <f>H8+0.25</f>
        <v>1493.0309999999999</v>
      </c>
      <c r="K8" s="1" t="str">
        <f t="shared" si="0"/>
        <v>1360.56, 1360.893, 1020.178, 1020.678</v>
      </c>
      <c r="L8" s="1" t="str">
        <f t="shared" si="1"/>
        <v>1194.023, 1194.223, 1492.781, 1493.031</v>
      </c>
    </row>
    <row r="10" spans="1:12" x14ac:dyDescent="0.2">
      <c r="B10" s="1" t="s">
        <v>16</v>
      </c>
      <c r="F10" s="1" t="s">
        <v>13</v>
      </c>
    </row>
    <row r="11" spans="1:12" x14ac:dyDescent="0.2">
      <c r="B11" s="1" t="s">
        <v>17</v>
      </c>
      <c r="F11" s="1" t="s">
        <v>14</v>
      </c>
    </row>
    <row r="12" spans="1:12" x14ac:dyDescent="0.2">
      <c r="F12" s="1" t="s">
        <v>15</v>
      </c>
    </row>
    <row r="19" spans="1:12" x14ac:dyDescent="0.2">
      <c r="A19" s="1" t="s">
        <v>0</v>
      </c>
      <c r="B19" s="1" t="s">
        <v>8</v>
      </c>
      <c r="C19" s="4" t="s">
        <v>12</v>
      </c>
      <c r="D19" s="1" t="s">
        <v>9</v>
      </c>
      <c r="E19" s="4" t="s">
        <v>20</v>
      </c>
      <c r="F19" s="1" t="s">
        <v>10</v>
      </c>
      <c r="G19" s="4" t="s">
        <v>21</v>
      </c>
      <c r="H19" s="1" t="s">
        <v>11</v>
      </c>
      <c r="I19" s="4" t="s">
        <v>22</v>
      </c>
      <c r="J19" s="1" t="s">
        <v>23</v>
      </c>
      <c r="K19" s="1" t="s">
        <v>18</v>
      </c>
      <c r="L19" s="1" t="s">
        <v>19</v>
      </c>
    </row>
    <row r="20" spans="1:12" x14ac:dyDescent="0.2">
      <c r="A20" s="1" t="s">
        <v>1</v>
      </c>
      <c r="B20" s="2">
        <v>606.09199999999998</v>
      </c>
      <c r="C20" s="2">
        <f>B20+0.5</f>
        <v>606.59199999999998</v>
      </c>
      <c r="F20" s="3">
        <v>775.15499999999997</v>
      </c>
      <c r="G20" s="3">
        <f>F20+0.25</f>
        <v>775.40499999999997</v>
      </c>
      <c r="H20" s="1">
        <v>1033.876</v>
      </c>
      <c r="I20" s="1">
        <f>H20+0.333</f>
        <v>1034.2090000000001</v>
      </c>
      <c r="K20" s="1" t="str">
        <f t="shared" ref="K20:K26" si="2">_xlfn.TEXTJOIN(", ", TRUE,B20:E20)</f>
        <v>606.092, 606.592</v>
      </c>
      <c r="L20" s="1" t="str">
        <f t="shared" ref="L20:L26" si="3">_xlfn.TEXTJOIN(", ", TRUE, F20:I20)</f>
        <v>775.155, 775.405, 1033.876, 1034.209</v>
      </c>
    </row>
    <row r="21" spans="1:12" x14ac:dyDescent="0.2">
      <c r="A21" s="1" t="s">
        <v>2</v>
      </c>
      <c r="B21" s="7">
        <v>623.42100000000005</v>
      </c>
      <c r="C21" s="2">
        <f>B21+0.333</f>
        <v>623.75400000000002</v>
      </c>
      <c r="D21" s="1">
        <v>935.63599999999997</v>
      </c>
      <c r="E21" s="1">
        <f>D21+0.5</f>
        <v>936.13599999999997</v>
      </c>
      <c r="F21" s="3">
        <v>939.928</v>
      </c>
      <c r="G21" s="3">
        <f>F21+0.25</f>
        <v>940.178</v>
      </c>
      <c r="H21" s="1">
        <v>1253.5730000000001</v>
      </c>
      <c r="I21" s="1">
        <f>H21+0.333</f>
        <v>1253.9060000000002</v>
      </c>
      <c r="K21" s="1" t="str">
        <f t="shared" si="2"/>
        <v>623.421, 623.754, 935.636, 936.136</v>
      </c>
      <c r="L21" s="1" t="str">
        <f t="shared" si="3"/>
        <v>939.928, 940.178, 1253.573, 1253.906</v>
      </c>
    </row>
    <row r="22" spans="1:12" x14ac:dyDescent="0.2">
      <c r="A22" s="1" t="s">
        <v>6</v>
      </c>
      <c r="B22" s="1">
        <v>625.09299999999996</v>
      </c>
      <c r="C22" s="2">
        <f>B22+0.3333</f>
        <v>625.42629999999997</v>
      </c>
      <c r="D22" s="1">
        <v>938.14400000000001</v>
      </c>
      <c r="E22" s="1">
        <f>D22+0.5</f>
        <v>938.64400000000001</v>
      </c>
      <c r="F22" s="5">
        <v>941.18100000000004</v>
      </c>
      <c r="G22" s="3">
        <f>F22+0.25</f>
        <v>941.43100000000004</v>
      </c>
      <c r="H22" s="1">
        <v>1255.2449999999999</v>
      </c>
      <c r="I22" s="1">
        <f>H22+0.333</f>
        <v>1255.578</v>
      </c>
      <c r="K22" s="1" t="str">
        <f t="shared" si="2"/>
        <v>625.093, 625.4263, 938.144, 938.644</v>
      </c>
      <c r="L22" s="1" t="str">
        <f t="shared" si="3"/>
        <v>941.181, 941.431, 1255.245, 1255.578</v>
      </c>
    </row>
    <row r="23" spans="1:12" x14ac:dyDescent="0.2">
      <c r="A23" s="1" t="s">
        <v>4</v>
      </c>
      <c r="B23" s="2">
        <v>632.44100000000003</v>
      </c>
      <c r="C23" s="2">
        <f>B23+0.3333</f>
        <v>632.77430000000004</v>
      </c>
      <c r="D23" s="1">
        <v>949.16600000000005</v>
      </c>
      <c r="E23" s="1">
        <f>D23+0.5</f>
        <v>949.66600000000005</v>
      </c>
      <c r="F23" s="3">
        <v>1262.5920000000001</v>
      </c>
      <c r="G23" s="3">
        <f>F23+0.333</f>
        <v>1262.9250000000002</v>
      </c>
      <c r="K23" s="1" t="str">
        <f t="shared" si="2"/>
        <v>632.441, 632.7743, 949.166, 949.666</v>
      </c>
      <c r="L23" s="1" t="str">
        <f t="shared" si="3"/>
        <v>1262.592, 1262.925</v>
      </c>
    </row>
    <row r="24" spans="1:12" x14ac:dyDescent="0.2">
      <c r="A24" s="1" t="s">
        <v>5</v>
      </c>
      <c r="B24" s="2">
        <v>763.11800000000005</v>
      </c>
      <c r="C24" s="2">
        <f>B24+0.5</f>
        <v>763.61800000000005</v>
      </c>
      <c r="F24" s="3">
        <v>853.66899999999998</v>
      </c>
      <c r="G24" s="3">
        <f>F24+0.25</f>
        <v>853.91899999999998</v>
      </c>
      <c r="H24" s="1">
        <v>1138.5609999999999</v>
      </c>
      <c r="I24" s="1">
        <f>H24+0.333</f>
        <v>1138.894</v>
      </c>
      <c r="K24" s="1" t="str">
        <f t="shared" si="2"/>
        <v>763.118, 763.618</v>
      </c>
      <c r="L24" s="1" t="str">
        <f t="shared" si="3"/>
        <v>853.669, 853.919, 1138.561, 1138.894</v>
      </c>
    </row>
    <row r="25" spans="1:12" x14ac:dyDescent="0.2">
      <c r="A25" s="1" t="s">
        <v>3</v>
      </c>
      <c r="B25" s="7">
        <v>834.13</v>
      </c>
      <c r="C25" s="2">
        <f>B25+0.333</f>
        <v>834.46299999999997</v>
      </c>
      <c r="D25" s="1">
        <v>1251.6990000000001</v>
      </c>
      <c r="E25" s="1">
        <f>D25+0.5</f>
        <v>1252.1990000000001</v>
      </c>
      <c r="F25" s="3">
        <v>1097.9590000000001</v>
      </c>
      <c r="G25" s="3">
        <f>F25+0.25</f>
        <v>1098.2090000000001</v>
      </c>
      <c r="H25" s="1">
        <v>1464.2809999999999</v>
      </c>
      <c r="I25" s="1">
        <f>H25+0.333</f>
        <v>1464.614</v>
      </c>
      <c r="K25" s="1" t="str">
        <f t="shared" si="2"/>
        <v>834.13, 834.463, 1251.699, 1252.199</v>
      </c>
      <c r="L25" s="1" t="str">
        <f t="shared" si="3"/>
        <v>1097.959, 1098.209, 1464.281, 1464.614</v>
      </c>
    </row>
    <row r="26" spans="1:12" x14ac:dyDescent="0.2">
      <c r="A26" s="1" t="s">
        <v>7</v>
      </c>
      <c r="B26" s="1">
        <v>1360.56</v>
      </c>
      <c r="C26" s="2">
        <f>B26+0.333</f>
        <v>1360.893</v>
      </c>
      <c r="D26" s="1">
        <v>1020.178</v>
      </c>
      <c r="E26" s="1">
        <f>D26+0.5</f>
        <v>1020.678</v>
      </c>
      <c r="F26" s="5">
        <v>1194.0229999999999</v>
      </c>
      <c r="G26" s="1">
        <f>F26+0.2</f>
        <v>1194.223</v>
      </c>
      <c r="H26" s="1">
        <v>1492.7809999999999</v>
      </c>
      <c r="I26" s="1">
        <f>H26+0.25</f>
        <v>1493.0309999999999</v>
      </c>
      <c r="K26" s="1" t="str">
        <f t="shared" si="2"/>
        <v>1360.56, 1360.893, 1020.178, 1020.678</v>
      </c>
      <c r="L26" s="1" t="str">
        <f t="shared" si="3"/>
        <v>1194.023, 1194.223, 1492.781, 1493.031</v>
      </c>
    </row>
    <row r="33" spans="1:3" x14ac:dyDescent="0.2">
      <c r="A33" s="1" t="s">
        <v>0</v>
      </c>
      <c r="B33" s="1" t="s">
        <v>24</v>
      </c>
      <c r="C33" s="1" t="s">
        <v>25</v>
      </c>
    </row>
    <row r="34" spans="1:3" x14ac:dyDescent="0.2">
      <c r="A34" s="1" t="s">
        <v>2</v>
      </c>
      <c r="B34" s="1">
        <v>137297.46</v>
      </c>
      <c r="C34" s="1">
        <v>293800.08</v>
      </c>
    </row>
    <row r="35" spans="1:3" x14ac:dyDescent="0.2">
      <c r="A35" s="1" t="s">
        <v>5</v>
      </c>
      <c r="B35" s="1">
        <v>133985.5</v>
      </c>
      <c r="C35" s="1">
        <v>376828.86</v>
      </c>
    </row>
    <row r="36" spans="1:3" x14ac:dyDescent="0.2">
      <c r="A36" s="1" t="s">
        <v>4</v>
      </c>
      <c r="B36" s="1">
        <v>38925.11</v>
      </c>
      <c r="C36" s="1">
        <v>83228.42</v>
      </c>
    </row>
    <row r="37" spans="1:3" x14ac:dyDescent="0.2">
      <c r="A37" s="1" t="s">
        <v>6</v>
      </c>
      <c r="B37" s="1">
        <v>143146.39000000001</v>
      </c>
      <c r="C37" s="1">
        <v>195105.38</v>
      </c>
    </row>
    <row r="38" spans="1:3" x14ac:dyDescent="0.2">
      <c r="A38" s="1" t="s">
        <v>1</v>
      </c>
      <c r="B38" s="1">
        <v>324917</v>
      </c>
      <c r="C38" s="1">
        <v>474866.93</v>
      </c>
    </row>
    <row r="39" spans="1:3" x14ac:dyDescent="0.2">
      <c r="A39" s="1" t="s">
        <v>3</v>
      </c>
      <c r="B39" s="1">
        <v>122025.60000000001</v>
      </c>
      <c r="C39" s="1">
        <v>205508.11</v>
      </c>
    </row>
    <row r="40" spans="1:3" x14ac:dyDescent="0.2">
      <c r="A40" s="1" t="s">
        <v>7</v>
      </c>
      <c r="B40" s="1">
        <v>5565.87</v>
      </c>
      <c r="C40" s="1">
        <v>45731.67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Sharin, Max D</dc:creator>
  <cp:lastModifiedBy>Sharin, Max D</cp:lastModifiedBy>
  <dcterms:created xsi:type="dcterms:W3CDTF">2026-03-17T16:44:13Z</dcterms:created>
  <dcterms:modified xsi:type="dcterms:W3CDTF">2026-03-20T01:51:13Z</dcterms:modified>
</cp:coreProperties>
</file>